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gas" sheetId="1" r:id="rId5"/>
    <sheet state="visible" name="Logs" sheetId="2" r:id="rId6"/>
    <sheet state="visible" name="Base_Dashboard" sheetId="3" r:id="rId7"/>
    <sheet state="visible" name="Config" sheetId="4" r:id="rId8"/>
    <sheet state="visible" name="Dashboard" sheetId="5" r:id="rId9"/>
  </sheets>
  <definedNames/>
  <calcPr/>
</workbook>
</file>

<file path=xl/sharedStrings.xml><?xml version="1.0" encoding="utf-8"?>
<sst xmlns="http://schemas.openxmlformats.org/spreadsheetml/2006/main" count="87" uniqueCount="77">
  <si>
    <t>ID</t>
  </si>
  <si>
    <t>Data Encontrada</t>
  </si>
  <si>
    <t>Empresa</t>
  </si>
  <si>
    <t>Cargo</t>
  </si>
  <si>
    <t>Local</t>
  </si>
  <si>
    <t>Tipo</t>
  </si>
  <si>
    <t>Link</t>
  </si>
  <si>
    <t>Score IA</t>
  </si>
  <si>
    <t>Motivos Match</t>
  </si>
  <si>
    <t>Lacunas</t>
  </si>
  <si>
    <t>Status Telegram</t>
  </si>
  <si>
    <t>Data Aprovação</t>
  </si>
  <si>
    <t>timestamp</t>
  </si>
  <si>
    <t>execution_id</t>
  </si>
  <si>
    <t>INDICADORES PRINCIPAIS</t>
  </si>
  <si>
    <t>event</t>
  </si>
  <si>
    <t>job_id</t>
  </si>
  <si>
    <t>details</t>
  </si>
  <si>
    <t>Valor</t>
  </si>
  <si>
    <t>FUNIL DO PROCESSO</t>
  </si>
  <si>
    <t>Quantidade</t>
  </si>
  <si>
    <t>DISTRIBUIÇÃO DE SCORE</t>
  </si>
  <si>
    <t>HUMAN-IN-THE-LOOP</t>
  </si>
  <si>
    <t>Currículo Gerado</t>
  </si>
  <si>
    <t>STATUS DO PROCESSO</t>
  </si>
  <si>
    <t>Mensagem Gerada</t>
  </si>
  <si>
    <t>Data Envio</t>
  </si>
  <si>
    <t>EVENTOS DO WORKFLOW</t>
  </si>
  <si>
    <t>Status Processo</t>
  </si>
  <si>
    <t>Observações</t>
  </si>
  <si>
    <t>Total de vagas analisadas</t>
  </si>
  <si>
    <t>parameters</t>
  </si>
  <si>
    <t>name</t>
  </si>
  <si>
    <t>type</t>
  </si>
  <si>
    <t>typeVersion</t>
  </si>
  <si>
    <t>Carta de Apresentação</t>
  </si>
  <si>
    <t>Canal Candidatura</t>
  </si>
  <si>
    <t>E-mail Candidatura</t>
  </si>
  <si>
    <t>URL Candidatura</t>
  </si>
  <si>
    <t>Instruções Candidatura</t>
  </si>
  <si>
    <t>chave</t>
  </si>
  <si>
    <t>valor</t>
  </si>
  <si>
    <t>Vagas analisadas</t>
  </si>
  <si>
    <t>CANDIDATE_PROFILE</t>
  </si>
  <si>
    <t>0–49</t>
  </si>
  <si>
    <t>DADOS PESSOAIS
Nome: 
Cidade/UF: 
E-mail: 
Telefone: 
LinkedIn: 
GitHub: 
TÍTULO PROFISSIONAL BASE
Desenvolvedora Front-end | Automação | Inteligência Artificial
RESUMO PROFISSIONAL
Profissional de tecnologia com atuação em desenvolvimento Front-end, automação de processos e Inteligência Artificial.
Experiência prática na construção de soluções utilizando JavaScript, React, Drupal, n8n, integração de APIs, Google Workspace, Telegram e modelos de linguagem.
Atua no desenvolvimento de workflows automatizados, agentes de IA, integrações entre sistemas e arquiteturas Human-in-the-Loop.
Mestranda em Ciência da Computação com foco em Inteligência Artificial, com interesse em aplicações práticas de IA, automação e desenvolvimento de software.
EXPERIÊNCIA PROFISSIONAL
EMPRESA: Squadra Digital
Cargo: Front-end 
Período: 08/2022 - Atualmente
Principais atividades:
• Desenvolvimento e manutenção de interfaces web utilizando HTML, CSS e JavaScript.
• Desenvolvimento de soluções com Drupal.
• Integração de aplicações Front-end com APIs e serviços externos.
• Participação na evolução e manutenção de aplicações web.
• Desenvolvimento e implementação de automações de processos.
• Construção de integrações entre sistemas utilizando APIs.
• Desenvolvimento de workflows utilizando n8n.
• Aplicação de Inteligência Artificial Generativa em processos automatizados.
Tecnologias utilizadas:
• HTML
• CSS
• JavaScript
• Drupal
• React
• APIs REST
• n8n
PROJETOS RELEVANTES
PROJETO: Agente de IA para Busca e Gestão Inteligente de Candidaturas
Descrição:
Sistema agentic desenvolvido para automatizar a busca, análise e gestão de oportunidades profissionais.
Principais funcionalidades:
• Coleta automatizada de vagas a partir de fontes externas.
• Normalização e deduplicação de oportunidades.
• Avaliação de aderência entre perfil profissional e vaga utilizando LLM.
• Geração de score de compatibilidade.
• Arquitetura Human-in-the-Loop com aprovação humana via Telegram.
• Persistência do estado das candidaturas em Google Sheets.
• Geração de currículos personalizados em Google Docs.
• Criação de mensagens de candidatura.
• Tratamento de erros e possibilidade de reprocessamento.
Tecnologias:
• n8n
• LLMs
• OpenAI
• Google Sheets
• Google Docs
• Google Drive
• Telegram Bot API
• RSS
• APIs HTTP
• JavaScript
PROJETO: QuestIA
Descrição:
Um sistema de tutoria conversacional automatizado desenvolvido para apoiar e preparar estudantes para o exame do ENEM, integrando fluxos automatizados e inteligência artificial para interação direta com os usuários.
Principais funcionalidades:
• Interação com os estudantes e tutoria automatizada através do Telegram.
• Automação de fluxos de conversação e gerenciamento de interações (via n8n).
• Geração de respostas e processamento de linguagem natural utilizando modelos de IA locais (via Ollama).
• Armazenamento estruturado de dados e visualização de métricas/desempenho (usando PostgreSQL e Metabase).
Tecnologias:
• Telegram
• n8n
• PostreSQL
• Ollama
PROJETO: Automação e Classificação Contábil Inteligente em Cascata (Financial Data Pipeline)
Descrição:
Pipeline automatizado desenvolvido no n8n para reconciliação, enriquecimento e classificação contábil a partir de extratos e lançamentos de despesas corporativas e cartões de crédito. A arquitetura emprega um modelo de decisão em camadas ("cascata"): primeiro resolve despesas recorrentes e regras determinísticas via JavaScript e cruzamento histórico (RAG tabular/local), direcionando apenas itens inéditos e de alta ambiguidade para agentes inteligentes de IA, minimizando o custo com tokens e prevenindo alucinações.
Principais funcionalidades:
• Filtro Determinístico e Anti-Salário: Bloqueio e descarte automático de lançamentos sensíveis ou irrelevantes
• Enriquecimento Cruzado de Dados : Cruzamento e normalização dinâmica de chaves de documentos para preenchimento de histórico e observações detalhadas.
• RAG Local / Busca Histórica Exata: Consulta em lote (Get Many) na base de referência anual para atribuição automática e a custo zero de transações já conhecidas.
• Motor de Regras Contábeis em JavaScript: Conversão padronizada de competências (MM/AAAA) e resolução imediata de fornecedores PJ recorrentes e departamentos.
• Roteamento Condicional e Classificação com IA Especializada: Filtro inteligente que desvia casos não resolvidos para agentes de IA dedicados à classificação contextual, devolvendo os dados higienizados para atualização em lote na planilha.
Tecnologias:
• n8n
• JavaScript
• Google Sheets API v4
• LLMs / Agentes de IA com Engenharia de Prompts (Few-shot prompting e classificação estruturada em JSON)
DESENVOLVIMENTO FRONT-END
• HTML
• CSS
• JavaScript
• Drupal
• React em nível básico/intermediário
• Desenvolvimento de interfaces web
• Integração de aplicações Front-end com APIs
• Desenvolvimento Web
INTELIGÊNCIA ARTIFICIAL
• Inteligência Artificial Generativa
• Uso de LLMs em automações
• Desenvolvimento de agentes de IA
• Prompt engineering
• Integração de modelos de linguagem com sistemas externos
• Arquiteturas Human-in-the-Loop
• Aplicação de IA para análise, classificação e geração de conteúdo
AUTOMAÇÃO E INTEGRAÇÃO
• n8n
• Criação de workflows automatizados
• Integração de APIs
• Webhooks
• Processamento e transformação de dados
• Integração entre sistemas
• Automação de processos
• Tratamento de erros
• Retry
• Rate limiting
• Deduplicação
• Persistência de estado
• Processamento de callbacks assíncronos
GOOGLE WORKSPACE E MENSAGERIA
• Google Sheets
• Google Docs
• Google Drive
• Telegram Bot API
COMPETÊNCIAS TÉCNICAS
• HTML
• CSS
• JavaScript
• React
• Drupal
• n8n
• APIs REST
• Webhooks
• JSON
• LLMs
• Inteligência Artificial Generativa
• Google Workspace
• Telegram Bot API
• Automação de processos
• Integração de sistemas
FORMAÇÃO ACADÊMICA
Curso: Mestrado em Ciência da Computação
Área de concentração: Inteligência Artificial
Instituição: Universidade Federal de Sergipe
Período: 2025 - Atualmente
Curso: Analise e Desenvolvimento de Sistemas
Instituição: Estácio de Sá
Período: 08/2022 - 04/2025
IDIOMAS
• Português: Nativo
• Inglês: A2
ÁREAS DE INTERESSE
• Desenvolvimento Front-end
• Desenvolvimento Web
• Inteligência Artificial
• IA Generativa
• Agentes de IA
• Automação
• Integração de sistemas
• Engenharia de automação
• Análise de sistemas
• Aplicações baseadas em LLMs
REGRAS DE USO DO PERFIL
Todas as informações acima representam a fonte factual do candidato.
Os agentes podem:
• reorganizar informações;
• priorizar experiências;
• destacar competências relacionadas a uma vaga;
• condensar textos;
• adaptar o título profissional e o resumo.
Os agentes não podem:
• inventar empresas;
• inventar cargos;
• inventar períodos;
• inventar experiências;
• inventar resultados;
• inventar certificações;
• inventar tecnologias;
• aumentar níveis de conhecimento declarados;
• afirmar experiência não presente neste perfil.</t>
  </si>
  <si>
    <t>Aguardando decisão</t>
  </si>
  <si>
    <t>Reprovada pela IA</t>
  </si>
  <si>
    <t>Total de eventos</t>
  </si>
  <si>
    <t>Score médio IA</t>
  </si>
  <si>
    <t>Aprovadas pela IA</t>
  </si>
  <si>
    <t>50–69</t>
  </si>
  <si>
    <t>Aprovadas</t>
  </si>
  <si>
    <t>Aguardando decisão humana</t>
  </si>
  <si>
    <t>Rejeições IA</t>
  </si>
  <si>
    <t>Reprovadas pela IA</t>
  </si>
  <si>
    <t>Encaminhadas ao humano</t>
  </si>
  <si>
    <t>70–84</t>
  </si>
  <si>
    <t>Rejeitadas</t>
  </si>
  <si>
    <t>Aprovada - gerando materiais</t>
  </si>
  <si>
    <t>Rejeições humanas</t>
  </si>
  <si>
    <t>Decisão humana realizada</t>
  </si>
  <si>
    <t>85–100</t>
  </si>
  <si>
    <t>Rejeitada pelo humano</t>
  </si>
  <si>
    <t>Materiais gerados</t>
  </si>
  <si>
    <t>Aprovadas pelo humano</t>
  </si>
  <si>
    <t>Currículos gerados</t>
  </si>
  <si>
    <t>Rejeitadas pelo humano</t>
  </si>
  <si>
    <t>Materiais completos</t>
  </si>
  <si>
    <t>Mensagens geradas</t>
  </si>
  <si>
    <t>Taxa de aprovação humana</t>
  </si>
  <si>
    <t>AGENTE DE IA PARA BUSCA E GESTÃO INTELIGENTE DE CANDIDATURAS</t>
  </si>
  <si>
    <t>Human-in-the-Loop • n8n • LLMs • Telegram • Google Workspace</t>
  </si>
  <si>
    <t>VAGAS ANALISADAS</t>
  </si>
  <si>
    <t>SCORE MÉDIO IA</t>
  </si>
  <si>
    <t>APROVADAS PELO HUMANO</t>
  </si>
  <si>
    <t>MATERIAIS GERADOS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</si>
</sst>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20.0"/>
      <color theme="1"/>
      <name val="Arial"/>
      <scheme val="minor"/>
    </font>
    <font>
      <sz val="20.0"/>
      <color rgb="FFFFFFFF"/>
      <name val="Arial"/>
      <scheme val="minor"/>
    </font>
    <font>
      <sz val="14.0"/>
      <color theme="1"/>
      <name val="Arial"/>
      <scheme val="minor"/>
    </font>
    <font>
      <sz val="17.0"/>
      <color theme="1"/>
      <name val="Arial"/>
      <scheme val="minor"/>
    </font>
    <font>
      <sz val="12.0"/>
      <color theme="1"/>
      <name val="Arial"/>
      <scheme val="minor"/>
    </font>
    <font>
      <sz val="12.0"/>
      <color rgb="FFFFFFFF"/>
      <name val="Arial"/>
      <scheme val="minor"/>
    </font>
    <font/>
    <font>
      <sz val="29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C1130"/>
        <bgColor rgb="FF4C1130"/>
      </patternFill>
    </fill>
    <fill>
      <patternFill patternType="solid">
        <fgColor rgb="FF073763"/>
        <bgColor rgb="FF073763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2" fontId="4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1" fillId="3" fontId="8" numFmtId="0" xfId="0" applyAlignment="1" applyBorder="1" applyFill="1" applyFont="1">
      <alignment horizontal="center" readingOrder="0"/>
    </xf>
    <xf borderId="2" fillId="0" fontId="9" numFmtId="0" xfId="0" applyBorder="1" applyFont="1"/>
    <xf borderId="0" fillId="0" fontId="7" numFmtId="0" xfId="0" applyFont="1"/>
    <xf borderId="0" fillId="0" fontId="10" numFmtId="0" xfId="0" applyAlignment="1" applyFont="1">
      <alignment horizontal="center" vertical="center"/>
    </xf>
    <xf borderId="3" fillId="0" fontId="10" numFmtId="0" xfId="0" applyAlignment="1" applyBorder="1" applyFont="1">
      <alignment horizontal="center" vertical="center"/>
    </xf>
    <xf borderId="4" fillId="0" fontId="9" numFmtId="0" xfId="0" applyBorder="1" applyFont="1"/>
    <xf borderId="0" fillId="0" fontId="10" numFmtId="0" xfId="0" applyAlignment="1" applyFont="1">
      <alignment vertical="center"/>
    </xf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8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4C1130"/>
                </a:solidFill>
                <a:latin typeface="Nunito"/>
              </a:defRPr>
            </a:pPr>
            <a:r>
              <a:rPr b="1" i="0" sz="2400">
                <a:solidFill>
                  <a:srgbClr val="4C1130"/>
                </a:solidFill>
                <a:latin typeface="Nunito"/>
              </a:rPr>
              <a:t>Funil do Processo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Base_Dashboard!$E$1</c:f>
            </c:strRef>
          </c:tx>
          <c:spPr>
            <a:solidFill>
              <a:srgbClr val="1C4587"/>
            </a:solidFill>
            <a:ln cmpd="sng">
              <a:noFill/>
            </a:ln>
          </c:spPr>
          <c:invertIfNegative val="0"/>
          <c:cat>
            <c:strRef>
              <c:f>Base_Dashboard!$D$2:$D$8</c:f>
            </c:strRef>
          </c:cat>
          <c:val>
            <c:numRef>
              <c:f>Base_Dashboard!$E$2:$E$8</c:f>
              <c:numCache/>
            </c:numRef>
          </c:val>
        </c:ser>
        <c:axId val="848778875"/>
        <c:axId val="1932452196"/>
      </c:barChart>
      <c:catAx>
        <c:axId val="84877887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2452196"/>
      </c:catAx>
      <c:valAx>
        <c:axId val="19324521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8778875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4C1130"/>
                </a:solidFill>
                <a:latin typeface="Nunito"/>
              </a:defRPr>
            </a:pPr>
            <a:r>
              <a:rPr b="1" sz="2400">
                <a:solidFill>
                  <a:srgbClr val="4C1130"/>
                </a:solidFill>
                <a:latin typeface="Nunito"/>
              </a:rPr>
              <a:t>Human-in-the-Loop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Base_Dashboard!$K$1</c:f>
            </c:strRef>
          </c:tx>
          <c:dPt>
            <c:idx val="0"/>
            <c:spPr>
              <a:solidFill>
                <a:srgbClr val="1C4587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Base_Dashboard!$J$2:$J$4</c:f>
            </c:strRef>
          </c:cat>
          <c:val>
            <c:numRef>
              <c:f>Base_Dashboard!$K$2:$K$4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sz="2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4C1130"/>
                </a:solidFill>
                <a:latin typeface="Nunito"/>
              </a:defRPr>
            </a:pPr>
            <a:r>
              <a:rPr b="1" i="0" sz="2400">
                <a:solidFill>
                  <a:srgbClr val="4C1130"/>
                </a:solidFill>
                <a:latin typeface="Nunito"/>
              </a:rPr>
              <a:t>Distribuição de Score IA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Base_Dashboard!$H$1</c:f>
            </c:strRef>
          </c:tx>
          <c:spPr>
            <a:solidFill>
              <a:srgbClr val="073763"/>
            </a:solidFill>
            <a:ln cmpd="sng">
              <a:noFill/>
            </a:ln>
          </c:spPr>
          <c:invertIfNegative val="0"/>
          <c:cat>
            <c:strRef>
              <c:f>Base_Dashboard!$G$2:$G$5</c:f>
            </c:strRef>
          </c:cat>
          <c:val>
            <c:numRef>
              <c:f>Base_Dashboard!$H$2:$H$5</c:f>
              <c:numCache/>
            </c:numRef>
          </c:val>
        </c:ser>
        <c:axId val="869198570"/>
        <c:axId val="45240095"/>
      </c:barChart>
      <c:catAx>
        <c:axId val="8691985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240095"/>
      </c:catAx>
      <c:valAx>
        <c:axId val="452400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9198570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4C1130"/>
                </a:solidFill>
                <a:latin typeface="Nunito"/>
              </a:defRPr>
            </a:pPr>
            <a:r>
              <a:rPr b="1" sz="2400">
                <a:solidFill>
                  <a:srgbClr val="4C1130"/>
                </a:solidFill>
                <a:latin typeface="Nunito"/>
              </a:rPr>
              <a:t>Status do Processo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Base_Dashboard!$N$1</c:f>
            </c:strRef>
          </c:tx>
          <c:spPr>
            <a:solidFill>
              <a:srgbClr val="073763"/>
            </a:solidFill>
            <a:ln cmpd="sng">
              <a:noFill/>
            </a:ln>
          </c:spPr>
          <c:invertIfNegative val="0"/>
          <c:cat>
            <c:strRef>
              <c:f>Base_Dashboard!$M$2:$M$6</c:f>
            </c:strRef>
          </c:cat>
          <c:val>
            <c:numRef>
              <c:f>Base_Dashboard!$N$2:$N$6</c:f>
              <c:numCache/>
            </c:numRef>
          </c:val>
        </c:ser>
        <c:axId val="960851271"/>
        <c:axId val="1044154706"/>
      </c:barChart>
      <c:catAx>
        <c:axId val="9608512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4154706"/>
      </c:catAx>
      <c:valAx>
        <c:axId val="10441547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0851271"/>
        <c:crosses val="max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4C1130"/>
                </a:solidFill>
                <a:latin typeface="Nunito"/>
              </a:defRPr>
            </a:pPr>
            <a:r>
              <a:rPr b="1" sz="2400">
                <a:solidFill>
                  <a:srgbClr val="4C1130"/>
                </a:solidFill>
                <a:latin typeface="Nunito"/>
              </a:rPr>
              <a:t>Eventos do Workflow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Base_Dashboard!$Q$1</c:f>
            </c:strRef>
          </c:tx>
          <c:spPr>
            <a:solidFill>
              <a:srgbClr val="073763"/>
            </a:solidFill>
            <a:ln cmpd="sng">
              <a:noFill/>
            </a:ln>
          </c:spPr>
          <c:invertIfNegative val="0"/>
          <c:cat>
            <c:strRef>
              <c:f>Base_Dashboard!$P$2:$P$5</c:f>
            </c:strRef>
          </c:cat>
          <c:val>
            <c:numRef>
              <c:f>Base_Dashboard!$Q$2:$Q$5</c:f>
              <c:numCache/>
            </c:numRef>
          </c:val>
        </c:ser>
        <c:axId val="2136401676"/>
        <c:axId val="606198421"/>
      </c:barChart>
      <c:catAx>
        <c:axId val="21364016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6198421"/>
      </c:catAx>
      <c:valAx>
        <c:axId val="6061984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6401676"/>
      </c:valAx>
    </c:plotArea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9</xdr:row>
      <xdr:rowOff>180975</xdr:rowOff>
    </xdr:from>
    <xdr:ext cx="4953000" cy="32004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552450</xdr:colOff>
      <xdr:row>9</xdr:row>
      <xdr:rowOff>180975</xdr:rowOff>
    </xdr:from>
    <xdr:ext cx="5000625" cy="32004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180975</xdr:colOff>
      <xdr:row>26</xdr:row>
      <xdr:rowOff>190500</xdr:rowOff>
    </xdr:from>
    <xdr:ext cx="4953000" cy="32004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552450</xdr:colOff>
      <xdr:row>26</xdr:row>
      <xdr:rowOff>190500</xdr:rowOff>
    </xdr:from>
    <xdr:ext cx="5000625" cy="32004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180975</xdr:colOff>
      <xdr:row>44</xdr:row>
      <xdr:rowOff>0</xdr:rowOff>
    </xdr:from>
    <xdr:ext cx="4953000" cy="320040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5.13"/>
    <col customWidth="1" min="10" max="10" width="5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</v>
      </c>
      <c r="N1" s="1" t="s">
        <v>25</v>
      </c>
      <c r="O1" s="1" t="s">
        <v>26</v>
      </c>
      <c r="P1" s="1" t="s">
        <v>28</v>
      </c>
      <c r="Q1" s="1" t="s">
        <v>29</v>
      </c>
      <c r="R1" s="4" t="s">
        <v>31</v>
      </c>
      <c r="S1" s="4" t="s">
        <v>32</v>
      </c>
      <c r="T1" s="4" t="s">
        <v>33</v>
      </c>
      <c r="U1" s="4" t="s">
        <v>34</v>
      </c>
      <c r="V1" s="4" t="s">
        <v>35</v>
      </c>
      <c r="W1" s="4" t="s">
        <v>36</v>
      </c>
      <c r="X1" s="4" t="s">
        <v>37</v>
      </c>
      <c r="Y1" s="4" t="s">
        <v>38</v>
      </c>
      <c r="Z1" s="4" t="s">
        <v>39</v>
      </c>
    </row>
    <row r="2">
      <c r="A2" s="5"/>
      <c r="B2" s="5"/>
      <c r="C2" s="5"/>
      <c r="D2" s="5"/>
      <c r="E2" s="5"/>
      <c r="F2" s="5"/>
      <c r="G2" s="5"/>
      <c r="H2" s="6"/>
      <c r="I2" s="5"/>
      <c r="J2" s="5"/>
      <c r="K2" s="5"/>
      <c r="L2" s="7"/>
      <c r="M2" s="7"/>
      <c r="N2" s="7"/>
      <c r="O2" s="7"/>
      <c r="P2" s="5"/>
      <c r="Q2" s="5"/>
      <c r="R2" s="7"/>
      <c r="S2" s="7"/>
      <c r="T2" s="7"/>
      <c r="U2" s="7"/>
      <c r="V2" s="7"/>
      <c r="W2" s="7"/>
      <c r="X2" s="7"/>
      <c r="Y2" s="7"/>
      <c r="Z2" s="7"/>
    </row>
    <row r="3">
      <c r="A3" s="5"/>
      <c r="B3" s="5"/>
      <c r="C3" s="5"/>
      <c r="D3" s="5"/>
      <c r="E3" s="5"/>
      <c r="F3" s="5"/>
      <c r="G3" s="5"/>
      <c r="H3" s="6"/>
      <c r="I3" s="5"/>
      <c r="J3" s="5"/>
      <c r="K3" s="5"/>
      <c r="L3" s="7"/>
      <c r="M3" s="7"/>
      <c r="N3" s="7"/>
      <c r="O3" s="7"/>
      <c r="P3" s="5"/>
      <c r="Q3" s="5"/>
      <c r="R3" s="7"/>
      <c r="S3" s="7"/>
      <c r="T3" s="7"/>
      <c r="U3" s="7"/>
      <c r="V3" s="7"/>
      <c r="W3" s="7"/>
      <c r="X3" s="7"/>
      <c r="Y3" s="7"/>
      <c r="Z3" s="7"/>
    </row>
    <row r="4">
      <c r="A4" s="5"/>
      <c r="B4" s="5"/>
      <c r="C4" s="5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7"/>
      <c r="P4" s="5"/>
      <c r="Q4" s="5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5"/>
      <c r="J5" s="5"/>
      <c r="K5" s="7"/>
      <c r="L5" s="7"/>
      <c r="M5" s="7"/>
      <c r="N5" s="7"/>
      <c r="O5" s="7"/>
      <c r="P5" s="7"/>
      <c r="Q5" s="7"/>
      <c r="R5" s="5"/>
      <c r="S5" s="5"/>
      <c r="T5" s="5"/>
      <c r="U5" s="6"/>
      <c r="V5" s="7"/>
      <c r="W5" s="7"/>
      <c r="X5" s="7"/>
      <c r="Y5" s="7"/>
      <c r="Z5" s="7"/>
    </row>
    <row r="6">
      <c r="A6" s="5"/>
      <c r="B6" s="5"/>
      <c r="C6" s="5"/>
      <c r="D6" s="5"/>
      <c r="E6" s="5"/>
      <c r="F6" s="5"/>
      <c r="G6" s="5"/>
      <c r="H6" s="6"/>
      <c r="I6" s="5"/>
      <c r="J6" s="5"/>
      <c r="K6" s="5"/>
      <c r="L6" s="7"/>
      <c r="M6" s="7"/>
      <c r="N6" s="7"/>
      <c r="O6" s="7"/>
      <c r="P6" s="5"/>
      <c r="Q6" s="5"/>
      <c r="R6" s="7"/>
      <c r="S6" s="7"/>
      <c r="T6" s="7"/>
      <c r="U6" s="7"/>
      <c r="V6" s="7"/>
      <c r="W6" s="7"/>
      <c r="X6" s="7"/>
      <c r="Y6" s="7"/>
      <c r="Z6" s="7"/>
    </row>
    <row r="7">
      <c r="A7" s="5"/>
      <c r="B7" s="5"/>
      <c r="C7" s="5"/>
      <c r="D7" s="5"/>
      <c r="E7" s="5"/>
      <c r="F7" s="5"/>
      <c r="G7" s="5"/>
      <c r="H7" s="6"/>
      <c r="I7" s="5"/>
      <c r="J7" s="5"/>
      <c r="K7" s="5"/>
      <c r="L7" s="7"/>
      <c r="M7" s="7"/>
      <c r="N7" s="7"/>
      <c r="O7" s="7"/>
      <c r="P7" s="5"/>
      <c r="Q7" s="5"/>
      <c r="R7" s="7"/>
      <c r="S7" s="7"/>
      <c r="T7" s="7"/>
      <c r="U7" s="7"/>
      <c r="V7" s="7"/>
      <c r="W7" s="7"/>
      <c r="X7" s="7"/>
      <c r="Y7" s="7"/>
      <c r="Z7" s="7"/>
    </row>
    <row r="8">
      <c r="A8" s="5"/>
      <c r="B8" s="5"/>
      <c r="C8" s="5"/>
      <c r="D8" s="5"/>
      <c r="E8" s="5"/>
      <c r="F8" s="5"/>
      <c r="G8" s="5"/>
      <c r="H8" s="6"/>
      <c r="I8" s="5"/>
      <c r="J8" s="5"/>
      <c r="K8" s="5"/>
      <c r="L8" s="7"/>
      <c r="M8" s="7"/>
      <c r="N8" s="7"/>
      <c r="O8" s="7"/>
      <c r="P8" s="5"/>
      <c r="Q8" s="5"/>
      <c r="R8" s="7"/>
      <c r="S8" s="7"/>
      <c r="T8" s="7"/>
      <c r="U8" s="7"/>
      <c r="V8" s="7"/>
      <c r="W8" s="7"/>
      <c r="X8" s="7"/>
      <c r="Y8" s="7"/>
      <c r="Z8" s="7"/>
    </row>
    <row r="9">
      <c r="A9" s="5"/>
      <c r="B9" s="5"/>
      <c r="C9" s="5"/>
      <c r="D9" s="5"/>
      <c r="E9" s="5"/>
      <c r="F9" s="5"/>
      <c r="G9" s="5"/>
      <c r="H9" s="6"/>
      <c r="I9" s="5"/>
      <c r="J9" s="5"/>
      <c r="K9" s="5"/>
      <c r="L9" s="7"/>
      <c r="M9" s="7"/>
      <c r="N9" s="7"/>
      <c r="O9" s="7"/>
      <c r="P9" s="5"/>
      <c r="Q9" s="5"/>
      <c r="R9" s="7"/>
      <c r="S9" s="7"/>
      <c r="T9" s="7"/>
      <c r="U9" s="7"/>
      <c r="V9" s="7"/>
      <c r="W9" s="7"/>
      <c r="X9" s="7"/>
      <c r="Y9" s="7"/>
      <c r="Z9" s="7"/>
    </row>
    <row r="10">
      <c r="A10" s="5"/>
      <c r="B10" s="5"/>
      <c r="C10" s="5"/>
      <c r="D10" s="5"/>
      <c r="E10" s="5"/>
      <c r="F10" s="5"/>
      <c r="G10" s="5"/>
      <c r="H10" s="6"/>
      <c r="I10" s="5"/>
      <c r="J10" s="5"/>
      <c r="K10" s="5"/>
      <c r="L10" s="7"/>
      <c r="M10" s="7"/>
      <c r="N10" s="7"/>
      <c r="O10" s="7"/>
      <c r="P10" s="5"/>
      <c r="Q10" s="5"/>
      <c r="R10" s="7"/>
      <c r="S10" s="7"/>
      <c r="T10" s="7"/>
      <c r="U10" s="7"/>
      <c r="V10" s="7"/>
      <c r="W10" s="7"/>
      <c r="X10" s="7"/>
      <c r="Y10" s="7"/>
      <c r="Z10" s="7"/>
    </row>
    <row r="11">
      <c r="A11" s="5"/>
      <c r="B11" s="5"/>
      <c r="C11" s="5"/>
      <c r="D11" s="5"/>
      <c r="E11" s="5"/>
      <c r="F11" s="5"/>
      <c r="G11" s="5"/>
      <c r="H11" s="6"/>
      <c r="I11" s="5"/>
      <c r="J11" s="5"/>
      <c r="K11" s="5"/>
      <c r="L11" s="7"/>
      <c r="M11" s="7"/>
      <c r="N11" s="7"/>
      <c r="O11" s="7"/>
      <c r="P11" s="5"/>
      <c r="Q11" s="5"/>
      <c r="R11" s="7"/>
      <c r="S11" s="7"/>
      <c r="T11" s="7"/>
      <c r="U11" s="7"/>
      <c r="V11" s="7"/>
      <c r="W11" s="7"/>
      <c r="X11" s="7"/>
      <c r="Y11" s="7"/>
      <c r="Z11" s="7"/>
    </row>
    <row r="12">
      <c r="A12" s="5"/>
      <c r="B12" s="5"/>
      <c r="C12" s="5"/>
      <c r="D12" s="5"/>
      <c r="E12" s="5"/>
      <c r="F12" s="5"/>
      <c r="G12" s="5"/>
      <c r="H12" s="6"/>
      <c r="I12" s="5"/>
      <c r="J12" s="5"/>
      <c r="K12" s="5"/>
      <c r="L12" s="7"/>
      <c r="M12" s="7"/>
      <c r="N12" s="7"/>
      <c r="O12" s="7"/>
      <c r="P12" s="5"/>
      <c r="Q12" s="5"/>
      <c r="R12" s="7"/>
      <c r="S12" s="7"/>
      <c r="T12" s="7"/>
      <c r="U12" s="7"/>
      <c r="V12" s="7"/>
      <c r="W12" s="7"/>
      <c r="X12" s="7"/>
      <c r="Y12" s="7"/>
      <c r="Z12" s="7"/>
    </row>
    <row r="13">
      <c r="A13" s="5"/>
      <c r="B13" s="5"/>
      <c r="C13" s="5"/>
      <c r="D13" s="5"/>
      <c r="E13" s="5"/>
      <c r="F13" s="5"/>
      <c r="G13" s="5"/>
      <c r="H13" s="6"/>
      <c r="I13" s="5"/>
      <c r="J13" s="5"/>
      <c r="K13" s="5"/>
      <c r="L13" s="7"/>
      <c r="M13" s="7"/>
      <c r="N13" s="7"/>
      <c r="O13" s="7"/>
      <c r="P13" s="5"/>
      <c r="Q13" s="5"/>
      <c r="R13" s="7"/>
      <c r="S13" s="7"/>
      <c r="T13" s="7"/>
      <c r="U13" s="7"/>
      <c r="V13" s="7"/>
      <c r="W13" s="7"/>
      <c r="X13" s="7"/>
      <c r="Y13" s="7"/>
      <c r="Z13" s="7"/>
    </row>
    <row r="14">
      <c r="A14" s="5"/>
      <c r="B14" s="5"/>
      <c r="C14" s="5"/>
      <c r="D14" s="5"/>
      <c r="E14" s="5"/>
      <c r="F14" s="5"/>
      <c r="G14" s="5"/>
      <c r="H14" s="6"/>
      <c r="I14" s="5"/>
      <c r="J14" s="5"/>
      <c r="K14" s="5"/>
      <c r="L14" s="7"/>
      <c r="M14" s="7"/>
      <c r="N14" s="7"/>
      <c r="O14" s="7"/>
      <c r="P14" s="5"/>
      <c r="Q14" s="5"/>
      <c r="R14" s="7"/>
      <c r="S14" s="7"/>
      <c r="T14" s="7"/>
      <c r="U14" s="7"/>
      <c r="V14" s="7"/>
      <c r="W14" s="7"/>
      <c r="X14" s="7"/>
      <c r="Y14" s="7"/>
      <c r="Z14" s="7"/>
    </row>
    <row r="15">
      <c r="A15" s="5"/>
      <c r="B15" s="5"/>
      <c r="C15" s="5"/>
      <c r="D15" s="5"/>
      <c r="E15" s="5"/>
      <c r="F15" s="5"/>
      <c r="G15" s="5"/>
      <c r="H15" s="6"/>
      <c r="I15" s="5"/>
      <c r="J15" s="5"/>
      <c r="K15" s="5"/>
      <c r="L15" s="7"/>
      <c r="M15" s="7"/>
      <c r="N15" s="7"/>
      <c r="O15" s="7"/>
      <c r="P15" s="5"/>
      <c r="Q15" s="5"/>
      <c r="R15" s="7"/>
      <c r="S15" s="7"/>
      <c r="T15" s="7"/>
      <c r="U15" s="7"/>
      <c r="V15" s="7"/>
      <c r="W15" s="7"/>
      <c r="X15" s="7"/>
      <c r="Y15" s="7"/>
      <c r="Z15" s="7"/>
    </row>
    <row r="16">
      <c r="A16" s="5"/>
      <c r="B16" s="5"/>
      <c r="C16" s="5"/>
      <c r="D16" s="5"/>
      <c r="E16" s="5"/>
      <c r="F16" s="5"/>
      <c r="G16" s="5"/>
      <c r="H16" s="6"/>
      <c r="I16" s="5"/>
      <c r="J16" s="5"/>
      <c r="K16" s="5"/>
      <c r="L16" s="7"/>
      <c r="M16" s="7"/>
      <c r="N16" s="7"/>
      <c r="O16" s="7"/>
      <c r="P16" s="5"/>
      <c r="Q16" s="5"/>
      <c r="R16" s="7"/>
      <c r="S16" s="7"/>
      <c r="T16" s="7"/>
      <c r="U16" s="7"/>
      <c r="V16" s="7"/>
      <c r="W16" s="7"/>
      <c r="X16" s="7"/>
      <c r="Y16" s="7"/>
      <c r="Z16" s="7"/>
    </row>
    <row r="17">
      <c r="A17" s="5"/>
      <c r="B17" s="5"/>
      <c r="C17" s="5"/>
      <c r="D17" s="5"/>
      <c r="E17" s="5"/>
      <c r="F17" s="5"/>
      <c r="G17" s="5"/>
      <c r="H17" s="6"/>
      <c r="I17" s="5"/>
      <c r="J17" s="5"/>
      <c r="K17" s="5"/>
      <c r="L17" s="7"/>
      <c r="M17" s="7"/>
      <c r="N17" s="7"/>
      <c r="O17" s="7"/>
      <c r="P17" s="5"/>
      <c r="Q17" s="5"/>
      <c r="R17" s="7"/>
      <c r="S17" s="7"/>
      <c r="T17" s="7"/>
      <c r="U17" s="7"/>
      <c r="V17" s="7"/>
      <c r="W17" s="7"/>
      <c r="X17" s="7"/>
      <c r="Y17" s="7"/>
      <c r="Z17" s="7"/>
    </row>
    <row r="18">
      <c r="A18" s="5"/>
      <c r="B18" s="5"/>
      <c r="C18" s="5"/>
      <c r="D18" s="5"/>
      <c r="E18" s="5"/>
      <c r="F18" s="5"/>
      <c r="G18" s="5"/>
      <c r="H18" s="6"/>
      <c r="I18" s="5"/>
      <c r="J18" s="5"/>
      <c r="K18" s="5"/>
      <c r="L18" s="7"/>
      <c r="M18" s="7"/>
      <c r="N18" s="7"/>
      <c r="O18" s="7"/>
      <c r="P18" s="5"/>
      <c r="Q18" s="5"/>
      <c r="R18" s="7"/>
      <c r="S18" s="7"/>
      <c r="T18" s="7"/>
      <c r="U18" s="7"/>
      <c r="V18" s="7"/>
      <c r="W18" s="7"/>
      <c r="X18" s="7"/>
      <c r="Y18" s="7"/>
      <c r="Z18" s="7"/>
    </row>
    <row r="19">
      <c r="A19" s="5"/>
      <c r="B19" s="5"/>
      <c r="C19" s="5"/>
      <c r="D19" s="5"/>
      <c r="E19" s="5"/>
      <c r="F19" s="5"/>
      <c r="G19" s="5"/>
      <c r="H19" s="6"/>
      <c r="I19" s="5"/>
      <c r="J19" s="5"/>
      <c r="K19" s="5"/>
      <c r="L19" s="7"/>
      <c r="M19" s="7"/>
      <c r="N19" s="7"/>
      <c r="O19" s="7"/>
      <c r="P19" s="5"/>
      <c r="Q19" s="5"/>
      <c r="R19" s="7"/>
      <c r="S19" s="7"/>
      <c r="T19" s="7"/>
      <c r="U19" s="7"/>
      <c r="V19" s="7"/>
      <c r="W19" s="7"/>
      <c r="X19" s="7"/>
      <c r="Y19" s="7"/>
      <c r="Z19" s="7"/>
    </row>
    <row r="20">
      <c r="A20" s="5"/>
      <c r="B20" s="5"/>
      <c r="C20" s="5"/>
      <c r="D20" s="5"/>
      <c r="E20" s="5"/>
      <c r="F20" s="5"/>
      <c r="G20" s="5"/>
      <c r="H20" s="6"/>
      <c r="I20" s="5"/>
      <c r="J20" s="5"/>
      <c r="K20" s="5"/>
      <c r="L20" s="7"/>
      <c r="M20" s="7"/>
      <c r="N20" s="7"/>
      <c r="O20" s="7"/>
      <c r="P20" s="5"/>
      <c r="Q20" s="5"/>
      <c r="R20" s="7"/>
      <c r="S20" s="7"/>
      <c r="T20" s="7"/>
      <c r="U20" s="7"/>
      <c r="V20" s="7"/>
      <c r="W20" s="7"/>
      <c r="X20" s="7"/>
      <c r="Y20" s="7"/>
      <c r="Z20" s="7"/>
    </row>
    <row r="21">
      <c r="A21" s="5"/>
      <c r="B21" s="5"/>
      <c r="C21" s="5"/>
      <c r="D21" s="5"/>
      <c r="E21" s="5"/>
      <c r="F21" s="5"/>
      <c r="G21" s="5"/>
      <c r="H21" s="6"/>
      <c r="I21" s="5"/>
      <c r="J21" s="5"/>
      <c r="K21" s="5"/>
      <c r="L21" s="7"/>
      <c r="M21" s="7"/>
      <c r="N21" s="7"/>
      <c r="O21" s="7"/>
      <c r="P21" s="5"/>
      <c r="Q21" s="5"/>
      <c r="R21" s="7"/>
      <c r="S21" s="7"/>
      <c r="T21" s="7"/>
      <c r="U21" s="7"/>
      <c r="V21" s="7"/>
      <c r="W21" s="7"/>
      <c r="X21" s="7"/>
      <c r="Y21" s="7"/>
      <c r="Z21" s="7"/>
    </row>
    <row r="22">
      <c r="A22" s="5"/>
      <c r="B22" s="5"/>
      <c r="C22" s="5"/>
      <c r="D22" s="5"/>
      <c r="E22" s="5"/>
      <c r="F22" s="5"/>
      <c r="G22" s="5"/>
      <c r="H22" s="6"/>
      <c r="I22" s="5"/>
      <c r="J22" s="5"/>
      <c r="K22" s="5"/>
      <c r="L22" s="7"/>
      <c r="M22" s="7"/>
      <c r="N22" s="7"/>
      <c r="O22" s="7"/>
      <c r="P22" s="5"/>
      <c r="Q22" s="5"/>
      <c r="R22" s="7"/>
      <c r="S22" s="7"/>
      <c r="T22" s="7"/>
      <c r="U22" s="7"/>
      <c r="V22" s="7"/>
      <c r="W22" s="7"/>
      <c r="X22" s="7"/>
      <c r="Y22" s="7"/>
      <c r="Z22" s="7"/>
    </row>
    <row r="23">
      <c r="A23" s="5"/>
      <c r="B23" s="5"/>
      <c r="C23" s="5"/>
      <c r="D23" s="5"/>
      <c r="E23" s="5"/>
      <c r="F23" s="5"/>
      <c r="G23" s="5"/>
      <c r="H23" s="6"/>
      <c r="I23" s="5"/>
      <c r="J23" s="5"/>
      <c r="K23" s="5"/>
      <c r="L23" s="7"/>
      <c r="M23" s="7"/>
      <c r="N23" s="7"/>
      <c r="O23" s="7"/>
      <c r="P23" s="5"/>
      <c r="Q23" s="5"/>
      <c r="R23" s="7"/>
      <c r="S23" s="7"/>
      <c r="T23" s="7"/>
      <c r="U23" s="7"/>
      <c r="V23" s="7"/>
      <c r="W23" s="7"/>
      <c r="X23" s="7"/>
      <c r="Y23" s="7"/>
      <c r="Z23" s="7"/>
    </row>
    <row r="24">
      <c r="A24" s="5"/>
      <c r="B24" s="5"/>
      <c r="C24" s="5"/>
      <c r="D24" s="5"/>
      <c r="E24" s="5"/>
      <c r="F24" s="5"/>
      <c r="G24" s="5"/>
      <c r="H24" s="6"/>
      <c r="I24" s="5"/>
      <c r="J24" s="5"/>
      <c r="K24" s="5"/>
      <c r="L24" s="7"/>
      <c r="M24" s="7"/>
      <c r="N24" s="7"/>
      <c r="O24" s="7"/>
      <c r="P24" s="5"/>
      <c r="Q24" s="5"/>
      <c r="R24" s="7"/>
      <c r="S24" s="7"/>
      <c r="T24" s="7"/>
      <c r="U24" s="7"/>
      <c r="V24" s="7"/>
      <c r="W24" s="7"/>
      <c r="X24" s="7"/>
      <c r="Y24" s="7"/>
      <c r="Z24" s="7"/>
    </row>
    <row r="25">
      <c r="A25" s="5"/>
      <c r="B25" s="5"/>
      <c r="C25" s="5"/>
      <c r="D25" s="5"/>
      <c r="E25" s="5"/>
      <c r="F25" s="5"/>
      <c r="G25" s="5"/>
      <c r="H25" s="6"/>
      <c r="I25" s="5"/>
      <c r="J25" s="5"/>
      <c r="K25" s="5"/>
      <c r="L25" s="7"/>
      <c r="M25" s="7"/>
      <c r="N25" s="7"/>
      <c r="O25" s="7"/>
      <c r="P25" s="5"/>
      <c r="Q25" s="5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6"/>
      <c r="I26" s="5"/>
      <c r="J26" s="5"/>
      <c r="K26" s="5"/>
      <c r="L26" s="7"/>
      <c r="M26" s="7"/>
      <c r="N26" s="7"/>
      <c r="O26" s="7"/>
      <c r="P26" s="5"/>
      <c r="Q26" s="5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6"/>
      <c r="I27" s="5"/>
      <c r="J27" s="5"/>
      <c r="K27" s="5"/>
      <c r="L27" s="7"/>
      <c r="M27" s="7"/>
      <c r="N27" s="7"/>
      <c r="O27" s="7"/>
      <c r="P27" s="5"/>
      <c r="Q27" s="5"/>
      <c r="R27" s="7"/>
      <c r="S27" s="7"/>
      <c r="T27" s="7"/>
      <c r="U27" s="7"/>
      <c r="V27" s="7"/>
      <c r="W27" s="7"/>
      <c r="X27" s="7"/>
      <c r="Y27" s="7"/>
      <c r="Z27" s="7"/>
    </row>
    <row r="28">
      <c r="A28" s="5"/>
      <c r="B28" s="5"/>
      <c r="C28" s="5"/>
      <c r="D28" s="5"/>
      <c r="E28" s="5"/>
      <c r="F28" s="5"/>
      <c r="G28" s="5"/>
      <c r="H28" s="6"/>
      <c r="I28" s="5"/>
      <c r="J28" s="5"/>
      <c r="K28" s="5"/>
      <c r="L28" s="7"/>
      <c r="M28" s="7"/>
      <c r="N28" s="7"/>
      <c r="O28" s="7"/>
      <c r="P28" s="5"/>
      <c r="Q28" s="5"/>
      <c r="R28" s="7"/>
      <c r="S28" s="7"/>
      <c r="T28" s="7"/>
      <c r="U28" s="7"/>
      <c r="V28" s="7"/>
      <c r="W28" s="7"/>
      <c r="X28" s="7"/>
      <c r="Y28" s="7"/>
      <c r="Z28" s="7"/>
    </row>
    <row r="29">
      <c r="A29" s="5"/>
      <c r="B29" s="5"/>
      <c r="C29" s="7"/>
      <c r="D29" s="7"/>
      <c r="E29" s="7"/>
      <c r="F29" s="7"/>
      <c r="G29" s="5"/>
      <c r="H29" s="6"/>
      <c r="I29" s="5"/>
      <c r="J29" s="5"/>
      <c r="K29" s="5"/>
      <c r="L29" s="7"/>
      <c r="M29" s="7"/>
      <c r="N29" s="7"/>
      <c r="O29" s="7"/>
      <c r="P29" s="5"/>
      <c r="Q29" s="5"/>
      <c r="R29" s="7"/>
      <c r="S29" s="7"/>
      <c r="T29" s="7"/>
      <c r="U29" s="7"/>
      <c r="V29" s="7"/>
      <c r="W29" s="7"/>
      <c r="X29" s="7"/>
      <c r="Y29" s="7"/>
      <c r="Z29" s="7"/>
    </row>
    <row r="30">
      <c r="A30" s="5"/>
      <c r="B30" s="5"/>
      <c r="C30" s="7"/>
      <c r="D30" s="7"/>
      <c r="E30" s="7"/>
      <c r="F30" s="7"/>
      <c r="G30" s="5"/>
      <c r="H30" s="6"/>
      <c r="I30" s="5"/>
      <c r="J30" s="5"/>
      <c r="K30" s="5"/>
      <c r="L30" s="7"/>
      <c r="M30" s="7"/>
      <c r="N30" s="7"/>
      <c r="O30" s="7"/>
      <c r="P30" s="5"/>
      <c r="Q30" s="5"/>
      <c r="R30" s="7"/>
      <c r="S30" s="7"/>
      <c r="T30" s="7"/>
      <c r="U30" s="7"/>
      <c r="V30" s="7"/>
      <c r="W30" s="7"/>
      <c r="X30" s="7"/>
      <c r="Y30" s="7"/>
      <c r="Z30" s="7"/>
    </row>
    <row r="31">
      <c r="A31" s="5"/>
      <c r="B31" s="5"/>
      <c r="C31" s="7"/>
      <c r="D31" s="7"/>
      <c r="E31" s="7"/>
      <c r="F31" s="7"/>
      <c r="G31" s="5"/>
      <c r="H31" s="6"/>
      <c r="I31" s="5"/>
      <c r="J31" s="5"/>
      <c r="K31" s="5"/>
      <c r="L31" s="7"/>
      <c r="M31" s="7"/>
      <c r="N31" s="7"/>
      <c r="O31" s="7"/>
      <c r="P31" s="5"/>
      <c r="Q31" s="5"/>
      <c r="R31" s="7"/>
      <c r="S31" s="7"/>
      <c r="T31" s="7"/>
      <c r="U31" s="7"/>
      <c r="V31" s="7"/>
      <c r="W31" s="7"/>
      <c r="X31" s="7"/>
      <c r="Y31" s="7"/>
      <c r="Z31" s="7"/>
    </row>
    <row r="32">
      <c r="A32" s="5"/>
      <c r="B32" s="5"/>
      <c r="C32" s="7"/>
      <c r="D32" s="7"/>
      <c r="E32" s="7"/>
      <c r="F32" s="7"/>
      <c r="G32" s="5"/>
      <c r="H32" s="6"/>
      <c r="I32" s="5"/>
      <c r="J32" s="5"/>
      <c r="K32" s="5"/>
      <c r="L32" s="7"/>
      <c r="M32" s="7"/>
      <c r="N32" s="7"/>
      <c r="O32" s="7"/>
      <c r="P32" s="5"/>
      <c r="Q32" s="5"/>
      <c r="R32" s="7"/>
      <c r="S32" s="7"/>
      <c r="T32" s="7"/>
      <c r="U32" s="7"/>
      <c r="V32" s="7"/>
      <c r="W32" s="7"/>
      <c r="X32" s="7"/>
      <c r="Y32" s="7"/>
      <c r="Z32" s="7"/>
    </row>
    <row r="33">
      <c r="A33" s="5"/>
      <c r="B33" s="5"/>
      <c r="C33" s="7"/>
      <c r="D33" s="7"/>
      <c r="E33" s="7"/>
      <c r="F33" s="7"/>
      <c r="G33" s="5"/>
      <c r="H33" s="6"/>
      <c r="I33" s="5"/>
      <c r="J33" s="5"/>
      <c r="K33" s="5"/>
      <c r="L33" s="7"/>
      <c r="M33" s="7"/>
      <c r="N33" s="7"/>
      <c r="O33" s="7"/>
      <c r="P33" s="5"/>
      <c r="Q33" s="5"/>
      <c r="R33" s="7"/>
      <c r="S33" s="7"/>
      <c r="T33" s="7"/>
      <c r="U33" s="7"/>
      <c r="V33" s="7"/>
      <c r="W33" s="7"/>
      <c r="X33" s="7"/>
      <c r="Y33" s="7"/>
      <c r="Z33" s="7"/>
    </row>
    <row r="34">
      <c r="A34" s="5"/>
      <c r="B34" s="5"/>
      <c r="C34" s="7"/>
      <c r="D34" s="7"/>
      <c r="E34" s="7"/>
      <c r="F34" s="7"/>
      <c r="G34" s="5"/>
      <c r="H34" s="6"/>
      <c r="I34" s="5"/>
      <c r="J34" s="5"/>
      <c r="K34" s="5"/>
      <c r="L34" s="7"/>
      <c r="M34" s="7"/>
      <c r="N34" s="7"/>
      <c r="O34" s="7"/>
      <c r="P34" s="5"/>
      <c r="Q34" s="5"/>
      <c r="R34" s="7"/>
      <c r="S34" s="7"/>
      <c r="T34" s="7"/>
      <c r="U34" s="7"/>
      <c r="V34" s="7"/>
      <c r="W34" s="7"/>
      <c r="X34" s="7"/>
      <c r="Y34" s="7"/>
      <c r="Z34" s="7"/>
    </row>
    <row r="35">
      <c r="A35" s="5"/>
      <c r="B35" s="5"/>
      <c r="C35" s="7"/>
      <c r="D35" s="7"/>
      <c r="E35" s="7"/>
      <c r="F35" s="7"/>
      <c r="G35" s="5"/>
      <c r="H35" s="6"/>
      <c r="I35" s="5"/>
      <c r="J35" s="5"/>
      <c r="K35" s="5"/>
      <c r="L35" s="7"/>
      <c r="M35" s="7"/>
      <c r="N35" s="7"/>
      <c r="O35" s="7"/>
      <c r="P35" s="5"/>
      <c r="Q35" s="5"/>
      <c r="R35" s="7"/>
      <c r="S35" s="7"/>
      <c r="T35" s="7"/>
      <c r="U35" s="7"/>
      <c r="V35" s="7"/>
      <c r="W35" s="7"/>
      <c r="X35" s="7"/>
      <c r="Y35" s="7"/>
      <c r="Z35" s="7"/>
    </row>
    <row r="36">
      <c r="A36" s="5"/>
      <c r="B36" s="5"/>
      <c r="C36" s="7"/>
      <c r="D36" s="7"/>
      <c r="E36" s="7"/>
      <c r="F36" s="7"/>
      <c r="G36" s="5"/>
      <c r="H36" s="6"/>
      <c r="I36" s="5"/>
      <c r="J36" s="5"/>
      <c r="K36" s="5"/>
      <c r="L36" s="7"/>
      <c r="M36" s="7"/>
      <c r="N36" s="7"/>
      <c r="O36" s="7"/>
      <c r="P36" s="5"/>
      <c r="Q36" s="5"/>
      <c r="R36" s="7"/>
      <c r="S36" s="7"/>
      <c r="T36" s="7"/>
      <c r="U36" s="7"/>
      <c r="V36" s="7"/>
      <c r="W36" s="7"/>
      <c r="X36" s="7"/>
      <c r="Y36" s="7"/>
      <c r="Z36" s="7"/>
    </row>
    <row r="37">
      <c r="A37" s="5"/>
      <c r="B37" s="5"/>
      <c r="C37" s="7"/>
      <c r="D37" s="7"/>
      <c r="E37" s="7"/>
      <c r="F37" s="7"/>
      <c r="G37" s="5"/>
      <c r="H37" s="6"/>
      <c r="I37" s="5"/>
      <c r="J37" s="5"/>
      <c r="K37" s="5"/>
      <c r="L37" s="7"/>
      <c r="M37" s="7"/>
      <c r="N37" s="7"/>
      <c r="O37" s="7"/>
      <c r="P37" s="5"/>
      <c r="Q37" s="5"/>
      <c r="R37" s="7"/>
      <c r="S37" s="7"/>
      <c r="T37" s="7"/>
      <c r="U37" s="7"/>
      <c r="V37" s="7"/>
      <c r="W37" s="7"/>
      <c r="X37" s="7"/>
      <c r="Y37" s="7"/>
      <c r="Z37" s="7"/>
    </row>
    <row r="38">
      <c r="A38" s="5"/>
      <c r="B38" s="5"/>
      <c r="C38" s="7"/>
      <c r="D38" s="7"/>
      <c r="E38" s="7"/>
      <c r="F38" s="7"/>
      <c r="G38" s="5"/>
      <c r="H38" s="6"/>
      <c r="I38" s="5"/>
      <c r="J38" s="5"/>
      <c r="K38" s="5"/>
      <c r="L38" s="7"/>
      <c r="M38" s="7"/>
      <c r="N38" s="7"/>
      <c r="O38" s="7"/>
      <c r="P38" s="5"/>
      <c r="Q38" s="5"/>
      <c r="R38" s="7"/>
      <c r="S38" s="7"/>
      <c r="T38" s="7"/>
      <c r="U38" s="7"/>
      <c r="V38" s="7"/>
      <c r="W38" s="7"/>
      <c r="X38" s="7"/>
      <c r="Y38" s="7"/>
      <c r="Z38" s="7"/>
    </row>
    <row r="39">
      <c r="A39" s="5"/>
      <c r="B39" s="5"/>
      <c r="C39" s="7"/>
      <c r="D39" s="7"/>
      <c r="E39" s="7"/>
      <c r="F39" s="7"/>
      <c r="G39" s="5"/>
      <c r="H39" s="6"/>
      <c r="I39" s="5"/>
      <c r="J39" s="5"/>
      <c r="K39" s="5"/>
      <c r="L39" s="7"/>
      <c r="M39" s="7"/>
      <c r="N39" s="7"/>
      <c r="O39" s="7"/>
      <c r="P39" s="5"/>
      <c r="Q39" s="5"/>
      <c r="R39" s="7"/>
      <c r="S39" s="7"/>
      <c r="T39" s="7"/>
      <c r="U39" s="7"/>
      <c r="V39" s="7"/>
      <c r="W39" s="7"/>
      <c r="X39" s="7"/>
      <c r="Y39" s="7"/>
      <c r="Z39" s="7"/>
    </row>
    <row r="40">
      <c r="A40" s="5"/>
      <c r="B40" s="5"/>
      <c r="C40" s="7"/>
      <c r="D40" s="7"/>
      <c r="E40" s="7"/>
      <c r="F40" s="7"/>
      <c r="G40" s="5"/>
      <c r="H40" s="6"/>
      <c r="I40" s="5"/>
      <c r="J40" s="5"/>
      <c r="K40" s="5"/>
      <c r="L40" s="7"/>
      <c r="M40" s="7"/>
      <c r="N40" s="7"/>
      <c r="O40" s="7"/>
      <c r="P40" s="5"/>
      <c r="Q40" s="5"/>
      <c r="R40" s="7"/>
      <c r="S40" s="7"/>
      <c r="T40" s="7"/>
      <c r="U40" s="7"/>
      <c r="V40" s="7"/>
      <c r="W40" s="7"/>
      <c r="X40" s="7"/>
      <c r="Y40" s="7"/>
      <c r="Z40" s="7"/>
    </row>
    <row r="41">
      <c r="A41" s="5"/>
      <c r="B41" s="5"/>
      <c r="C41" s="7"/>
      <c r="D41" s="7"/>
      <c r="E41" s="7"/>
      <c r="F41" s="7"/>
      <c r="G41" s="5"/>
      <c r="H41" s="6"/>
      <c r="I41" s="5"/>
      <c r="J41" s="5"/>
      <c r="K41" s="5"/>
      <c r="L41" s="7"/>
      <c r="M41" s="7"/>
      <c r="N41" s="7"/>
      <c r="O41" s="7"/>
      <c r="P41" s="5"/>
      <c r="Q41" s="5"/>
      <c r="R41" s="7"/>
      <c r="S41" s="7"/>
      <c r="T41" s="7"/>
      <c r="U41" s="7"/>
      <c r="V41" s="7"/>
      <c r="W41" s="7"/>
      <c r="X41" s="7"/>
      <c r="Y41" s="7"/>
      <c r="Z41" s="7"/>
    </row>
    <row r="42">
      <c r="A42" s="5"/>
      <c r="B42" s="5"/>
      <c r="C42" s="7"/>
      <c r="D42" s="7"/>
      <c r="E42" s="7"/>
      <c r="F42" s="7"/>
      <c r="G42" s="5"/>
      <c r="H42" s="6"/>
      <c r="I42" s="5"/>
      <c r="J42" s="5"/>
      <c r="K42" s="5"/>
      <c r="L42" s="7"/>
      <c r="M42" s="7"/>
      <c r="N42" s="7"/>
      <c r="O42" s="7"/>
      <c r="P42" s="5"/>
      <c r="Q42" s="5"/>
      <c r="R42" s="7"/>
      <c r="S42" s="7"/>
      <c r="T42" s="7"/>
      <c r="U42" s="7"/>
      <c r="V42" s="7"/>
      <c r="W42" s="7"/>
      <c r="X42" s="7"/>
      <c r="Y42" s="7"/>
      <c r="Z42" s="7"/>
    </row>
    <row r="43">
      <c r="A43" s="5"/>
      <c r="B43" s="5"/>
      <c r="C43" s="7"/>
      <c r="D43" s="7"/>
      <c r="E43" s="7"/>
      <c r="F43" s="7"/>
      <c r="G43" s="5"/>
      <c r="H43" s="6"/>
      <c r="I43" s="5"/>
      <c r="J43" s="5"/>
      <c r="K43" s="5"/>
      <c r="L43" s="7"/>
      <c r="M43" s="7"/>
      <c r="N43" s="7"/>
      <c r="O43" s="7"/>
      <c r="P43" s="5"/>
      <c r="Q43" s="5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6"/>
      <c r="I44" s="5"/>
      <c r="J44" s="5"/>
      <c r="K44" s="5"/>
      <c r="L44" s="7"/>
      <c r="M44" s="7"/>
      <c r="N44" s="7"/>
      <c r="O44" s="7"/>
      <c r="P44" s="5"/>
      <c r="Q44" s="5"/>
      <c r="R44" s="7"/>
      <c r="S44" s="7"/>
      <c r="T44" s="7"/>
      <c r="U44" s="7"/>
      <c r="V44" s="7"/>
      <c r="W44" s="7"/>
      <c r="X44" s="7"/>
      <c r="Y44" s="7"/>
      <c r="Z44" s="7"/>
    </row>
    <row r="45">
      <c r="A45" s="5"/>
      <c r="B45" s="5"/>
      <c r="C45" s="7"/>
      <c r="D45" s="7"/>
      <c r="E45" s="7"/>
      <c r="F45" s="7"/>
      <c r="G45" s="5"/>
      <c r="H45" s="6"/>
      <c r="I45" s="5"/>
      <c r="J45" s="5"/>
      <c r="K45" s="5"/>
      <c r="L45" s="7"/>
      <c r="M45" s="7"/>
      <c r="N45" s="7"/>
      <c r="O45" s="7"/>
      <c r="P45" s="5"/>
      <c r="Q45" s="5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6"/>
      <c r="I46" s="5"/>
      <c r="J46" s="5"/>
      <c r="K46" s="5"/>
      <c r="L46" s="7"/>
      <c r="M46" s="7"/>
      <c r="N46" s="7"/>
      <c r="O46" s="7"/>
      <c r="P46" s="5"/>
      <c r="Q46" s="5"/>
      <c r="R46" s="7"/>
      <c r="S46" s="7"/>
      <c r="T46" s="7"/>
      <c r="U46" s="7"/>
      <c r="V46" s="7"/>
      <c r="W46" s="7"/>
      <c r="X46" s="7"/>
      <c r="Y46" s="7"/>
      <c r="Z46" s="7"/>
    </row>
    <row r="47">
      <c r="A47" s="5"/>
      <c r="B47" s="5"/>
      <c r="C47" s="7"/>
      <c r="D47" s="7"/>
      <c r="E47" s="7"/>
      <c r="F47" s="7"/>
      <c r="G47" s="5"/>
      <c r="H47" s="6"/>
      <c r="I47" s="5"/>
      <c r="J47" s="5"/>
      <c r="K47" s="5"/>
      <c r="L47" s="7"/>
      <c r="M47" s="7"/>
      <c r="N47" s="7"/>
      <c r="O47" s="7"/>
      <c r="P47" s="5"/>
      <c r="Q47" s="5"/>
      <c r="R47" s="7"/>
      <c r="S47" s="7"/>
      <c r="T47" s="7"/>
      <c r="U47" s="7"/>
      <c r="V47" s="7"/>
      <c r="W47" s="7"/>
      <c r="X47" s="7"/>
      <c r="Y47" s="7"/>
      <c r="Z47" s="7"/>
    </row>
    <row r="48">
      <c r="A48" s="5"/>
      <c r="B48" s="5"/>
      <c r="C48" s="7"/>
      <c r="D48" s="7"/>
      <c r="E48" s="7"/>
      <c r="F48" s="7"/>
      <c r="G48" s="5"/>
      <c r="H48" s="6"/>
      <c r="I48" s="5"/>
      <c r="J48" s="5"/>
      <c r="K48" s="5"/>
      <c r="L48" s="7"/>
      <c r="M48" s="7"/>
      <c r="N48" s="7"/>
      <c r="O48" s="7"/>
      <c r="P48" s="5"/>
      <c r="Q48" s="5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6"/>
      <c r="I49" s="5"/>
      <c r="J49" s="5"/>
      <c r="K49" s="5"/>
      <c r="L49" s="7"/>
      <c r="M49" s="7"/>
      <c r="N49" s="7"/>
      <c r="O49" s="7"/>
      <c r="P49" s="5"/>
      <c r="Q49" s="5"/>
      <c r="R49" s="7"/>
      <c r="S49" s="7"/>
      <c r="T49" s="7"/>
      <c r="U49" s="7"/>
      <c r="V49" s="7"/>
      <c r="W49" s="7"/>
      <c r="X49" s="7"/>
      <c r="Y49" s="7"/>
      <c r="Z49" s="7"/>
    </row>
    <row r="50">
      <c r="A50" s="5"/>
      <c r="B50" s="5"/>
      <c r="C50" s="7"/>
      <c r="D50" s="7"/>
      <c r="E50" s="7"/>
      <c r="F50" s="7"/>
      <c r="G50" s="5"/>
      <c r="H50" s="6"/>
      <c r="I50" s="5"/>
      <c r="J50" s="5"/>
      <c r="K50" s="5"/>
      <c r="L50" s="7"/>
      <c r="M50" s="7"/>
      <c r="N50" s="7"/>
      <c r="O50" s="7"/>
      <c r="P50" s="5"/>
      <c r="Q50" s="5"/>
      <c r="R50" s="7"/>
      <c r="S50" s="7"/>
      <c r="T50" s="7"/>
      <c r="U50" s="7"/>
      <c r="V50" s="7"/>
      <c r="W50" s="7"/>
      <c r="X50" s="7"/>
      <c r="Y50" s="7"/>
      <c r="Z50" s="7"/>
    </row>
    <row r="51">
      <c r="A51" s="5"/>
      <c r="B51" s="5"/>
      <c r="C51" s="7"/>
      <c r="D51" s="7"/>
      <c r="E51" s="7"/>
      <c r="F51" s="7"/>
      <c r="G51" s="5"/>
      <c r="H51" s="6"/>
      <c r="I51" s="5"/>
      <c r="J51" s="5"/>
      <c r="K51" s="5"/>
      <c r="L51" s="7"/>
      <c r="M51" s="7"/>
      <c r="N51" s="7"/>
      <c r="O51" s="7"/>
      <c r="P51" s="5"/>
      <c r="Q51" s="5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6"/>
      <c r="I52" s="5"/>
      <c r="J52" s="5"/>
      <c r="K52" s="5"/>
      <c r="L52" s="7"/>
      <c r="M52" s="7"/>
      <c r="N52" s="7"/>
      <c r="O52" s="7"/>
      <c r="P52" s="5"/>
      <c r="Q52" s="5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12</v>
      </c>
      <c r="B1" s="2" t="s">
        <v>13</v>
      </c>
      <c r="C1" s="2" t="s">
        <v>15</v>
      </c>
      <c r="D1" s="2" t="s">
        <v>16</v>
      </c>
      <c r="E1" s="2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4.75"/>
    <col customWidth="1" min="3" max="3" width="3.13"/>
    <col customWidth="1" min="4" max="4" width="20.88"/>
    <col customWidth="1" min="5" max="5" width="9.63"/>
    <col customWidth="1" min="6" max="6" width="3.0"/>
    <col customWidth="1" min="7" max="7" width="22.0"/>
    <col customWidth="1" min="8" max="8" width="9.63"/>
    <col customWidth="1" min="9" max="9" width="2.75"/>
    <col customWidth="1" min="10" max="10" width="18.38"/>
    <col customWidth="1" min="11" max="11" width="9.63"/>
    <col customWidth="1" min="12" max="12" width="2.25"/>
    <col customWidth="1" min="13" max="13" width="23.0"/>
    <col customWidth="1" min="14" max="14" width="9.63"/>
    <col customWidth="1" min="15" max="15" width="2.88"/>
    <col customWidth="1" min="16" max="16" width="22.38"/>
    <col customWidth="1" min="17" max="17" width="9.63"/>
  </cols>
  <sheetData>
    <row r="1">
      <c r="A1" s="3" t="s">
        <v>14</v>
      </c>
      <c r="B1" s="3" t="s">
        <v>18</v>
      </c>
      <c r="D1" s="3" t="s">
        <v>19</v>
      </c>
      <c r="E1" s="3" t="s">
        <v>20</v>
      </c>
      <c r="G1" s="3" t="s">
        <v>21</v>
      </c>
      <c r="H1" s="3" t="s">
        <v>20</v>
      </c>
      <c r="J1" s="3" t="s">
        <v>22</v>
      </c>
      <c r="K1" s="3" t="s">
        <v>20</v>
      </c>
      <c r="M1" s="3" t="s">
        <v>24</v>
      </c>
      <c r="N1" s="3" t="s">
        <v>20</v>
      </c>
      <c r="P1" s="3" t="s">
        <v>27</v>
      </c>
      <c r="Q1" s="3" t="s">
        <v>20</v>
      </c>
    </row>
    <row r="2">
      <c r="A2" s="3" t="s">
        <v>30</v>
      </c>
      <c r="B2" s="10">
        <f>COUNTIF(Vagas!A2:A1000,"&lt;&gt;")</f>
        <v>0</v>
      </c>
      <c r="D2" s="3" t="s">
        <v>42</v>
      </c>
      <c r="E2" s="10">
        <f>B2</f>
        <v>0</v>
      </c>
      <c r="G2" s="3" t="s">
        <v>44</v>
      </c>
      <c r="H2" s="10">
        <f>COUNTIFS(Vagas!H2:H1000,"&gt;=0",Vagas!H2:H1000,"&lt;=49")</f>
        <v>0</v>
      </c>
      <c r="J2" s="3" t="s">
        <v>46</v>
      </c>
      <c r="K2" s="10">
        <f t="shared" ref="K2:K4" si="1">B6</f>
        <v>0</v>
      </c>
      <c r="M2" s="3" t="s">
        <v>47</v>
      </c>
      <c r="N2" s="10">
        <f>COUNTIF(Vagas!P2:P1000,"Reprovada pela IA")</f>
        <v>0</v>
      </c>
      <c r="P2" s="3" t="s">
        <v>48</v>
      </c>
      <c r="Q2" s="10">
        <f>COUNTIF(Logs!A2:A1000,"&lt;&gt;")</f>
        <v>0</v>
      </c>
    </row>
    <row r="3">
      <c r="A3" s="3" t="s">
        <v>49</v>
      </c>
      <c r="B3" s="10">
        <f>IFERROR(__xludf.DUMMYFUNCTION("IFERROR(ROUND(AVERAGE(FILTER(Vagas!H2:H1000,Vagas!H2:H1000&lt;&gt;"""")),1),0)"),0.0)</f>
        <v>0</v>
      </c>
      <c r="D3" s="3" t="s">
        <v>50</v>
      </c>
      <c r="E3" s="10">
        <f>B5</f>
        <v>0</v>
      </c>
      <c r="G3" s="3" t="s">
        <v>51</v>
      </c>
      <c r="H3" s="10">
        <f>COUNTIFS(Vagas!H2:H1000,"&gt;=50",Vagas!H2:H1000,"&lt;=69")</f>
        <v>0</v>
      </c>
      <c r="J3" s="3" t="s">
        <v>52</v>
      </c>
      <c r="K3" s="10">
        <f t="shared" si="1"/>
        <v>0</v>
      </c>
      <c r="M3" s="3" t="s">
        <v>53</v>
      </c>
      <c r="N3" s="10">
        <f>COUNTIF(Vagas!P2:P1000,"Aguardando decisão humana")</f>
        <v>0</v>
      </c>
      <c r="P3" s="3" t="s">
        <v>54</v>
      </c>
      <c r="Q3" s="10">
        <f>COUNTIF(Logs!C2:C1000,"Reprovada pela IA")</f>
        <v>0</v>
      </c>
    </row>
    <row r="4">
      <c r="A4" s="3" t="s">
        <v>55</v>
      </c>
      <c r="B4" s="10">
        <f>COUNTIF(Vagas!P2:P1000,"Reprovada pela IA")</f>
        <v>0</v>
      </c>
      <c r="D4" s="3" t="s">
        <v>56</v>
      </c>
      <c r="E4" s="10">
        <f>B5</f>
        <v>0</v>
      </c>
      <c r="G4" s="3" t="s">
        <v>57</v>
      </c>
      <c r="H4" s="10">
        <f>COUNTIFS(Vagas!H2:H1000,"&gt;=70",Vagas!H2:H1000,"&lt;=84")</f>
        <v>0</v>
      </c>
      <c r="J4" s="3" t="s">
        <v>58</v>
      </c>
      <c r="K4" s="10">
        <f t="shared" si="1"/>
        <v>0</v>
      </c>
      <c r="M4" s="3" t="s">
        <v>59</v>
      </c>
      <c r="N4" s="10">
        <f>COUNTIF(Vagas!P2:P1000,"Aprovada - gerando materiais")</f>
        <v>0</v>
      </c>
      <c r="P4" s="3" t="s">
        <v>60</v>
      </c>
      <c r="Q4" s="10">
        <f>COUNTIF(Logs!C2:C1000,"Rejeitada pelo humano")</f>
        <v>0</v>
      </c>
    </row>
    <row r="5">
      <c r="A5" s="3" t="s">
        <v>50</v>
      </c>
      <c r="B5" s="10">
        <f>COUNTIF(Vagas!H2:H1000,"&gt;=70")</f>
        <v>0</v>
      </c>
      <c r="D5" s="3" t="s">
        <v>61</v>
      </c>
      <c r="E5" s="10">
        <f>B7+B8</f>
        <v>0</v>
      </c>
      <c r="G5" s="3" t="s">
        <v>62</v>
      </c>
      <c r="H5" s="10">
        <f>COUNTIFS(Vagas!H2:H1000,"&gt;=85",Vagas!H2:H1000,"&lt;=100")</f>
        <v>0</v>
      </c>
      <c r="M5" s="3" t="s">
        <v>63</v>
      </c>
      <c r="N5" s="10">
        <f>COUNTIF(Vagas!P2:P1000,"Rejeitada pelo humano")</f>
        <v>0</v>
      </c>
      <c r="P5" s="3" t="s">
        <v>64</v>
      </c>
      <c r="Q5" s="10">
        <f>COUNTIF(Logs!C2:C1000,"Materiais gerados")</f>
        <v>0</v>
      </c>
    </row>
    <row r="6">
      <c r="A6" s="3" t="s">
        <v>53</v>
      </c>
      <c r="B6" s="10">
        <f>COUNTIF(Vagas!P2:P1000,"Aguardando decisão humana")</f>
        <v>0</v>
      </c>
      <c r="D6" s="3" t="s">
        <v>65</v>
      </c>
      <c r="E6" s="10">
        <f>B7</f>
        <v>0</v>
      </c>
      <c r="M6" s="3" t="s">
        <v>64</v>
      </c>
      <c r="N6" s="10">
        <f>COUNTIF(Vagas!P2:P1000,"Materiais gerados - aguardando envio humano")</f>
        <v>0</v>
      </c>
    </row>
    <row r="7">
      <c r="A7" s="3" t="s">
        <v>65</v>
      </c>
      <c r="B7" s="10">
        <f>COUNTIF(Vagas!K2:K1000,"Aprovada")</f>
        <v>0</v>
      </c>
      <c r="D7" s="3" t="s">
        <v>66</v>
      </c>
      <c r="E7" s="10">
        <f>B10</f>
        <v>0</v>
      </c>
    </row>
    <row r="8">
      <c r="A8" s="3" t="s">
        <v>67</v>
      </c>
      <c r="B8" s="10">
        <f>COUNTIF(Vagas!P2:P1000,"Rejeitada pelo humano")</f>
        <v>0</v>
      </c>
      <c r="D8" s="3" t="s">
        <v>68</v>
      </c>
      <c r="E8" s="10">
        <f>B9</f>
        <v>0</v>
      </c>
    </row>
    <row r="9">
      <c r="A9" s="3" t="s">
        <v>64</v>
      </c>
      <c r="B9" s="10">
        <f>COUNTIF(Vagas!P2:P1000,"Materiais gerados - aguardando envio humano")</f>
        <v>0</v>
      </c>
    </row>
    <row r="10">
      <c r="A10" s="3" t="s">
        <v>66</v>
      </c>
      <c r="B10" s="10">
        <f>COUNTIF(Vagas!M2:M1000,"&lt;&gt;")</f>
        <v>0</v>
      </c>
    </row>
    <row r="11">
      <c r="A11" s="3" t="s">
        <v>69</v>
      </c>
      <c r="B11" s="10">
        <f>COUNTIF(Vagas!N2:N1000,"&lt;&gt;")</f>
        <v>0</v>
      </c>
    </row>
    <row r="12">
      <c r="A12" s="3" t="s">
        <v>70</v>
      </c>
      <c r="B12" s="10">
        <f>IFERROR(B7/(B7+B8),0)</f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60.75"/>
  </cols>
  <sheetData>
    <row r="1">
      <c r="A1" s="8" t="s">
        <v>40</v>
      </c>
      <c r="B1" s="8" t="s">
        <v>41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8" t="s">
        <v>43</v>
      </c>
      <c r="B2" s="8" t="s">
        <v>45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4" max="4" width="5.63"/>
    <col customWidth="1" min="5" max="5" width="13.88"/>
    <col customWidth="1" min="7" max="7" width="5.13"/>
    <col customWidth="1" min="9" max="9" width="30.13"/>
    <col customWidth="1" min="10" max="10" width="5.0"/>
    <col customWidth="1" min="13" max="13" width="3.0"/>
  </cols>
  <sheetData>
    <row r="1">
      <c r="A1" s="11"/>
      <c r="B1" s="12" t="s">
        <v>71</v>
      </c>
      <c r="M1" s="11"/>
    </row>
    <row r="2" ht="8.25" customHeight="1"/>
    <row r="3">
      <c r="A3" s="13"/>
      <c r="B3" s="14" t="s">
        <v>72</v>
      </c>
      <c r="M3" s="14"/>
    </row>
    <row r="4">
      <c r="A4" s="15"/>
      <c r="B4" s="15"/>
      <c r="C4" s="15"/>
      <c r="D4" s="15"/>
      <c r="F4" s="15"/>
      <c r="G4" s="15"/>
      <c r="H4" s="15"/>
    </row>
    <row r="5">
      <c r="A5" s="16"/>
      <c r="B5" s="17" t="s">
        <v>73</v>
      </c>
      <c r="C5" s="18"/>
      <c r="D5" s="16"/>
      <c r="E5" s="17" t="s">
        <v>74</v>
      </c>
      <c r="F5" s="18"/>
      <c r="G5" s="16"/>
      <c r="H5" s="17" t="s">
        <v>75</v>
      </c>
      <c r="I5" s="18"/>
      <c r="J5" s="19"/>
      <c r="K5" s="17" t="s">
        <v>76</v>
      </c>
      <c r="L5" s="18"/>
      <c r="M5" s="19"/>
    </row>
    <row r="6">
      <c r="A6" s="20"/>
      <c r="B6" s="21">
        <f>Base_Dashboard!B2</f>
        <v>0</v>
      </c>
      <c r="C6" s="22"/>
      <c r="D6" s="20"/>
      <c r="E6" s="21">
        <f>Base_Dashboard!B3</f>
        <v>0</v>
      </c>
      <c r="F6" s="22"/>
      <c r="G6" s="20"/>
      <c r="H6" s="21">
        <f>Base_Dashboard!B7</f>
        <v>0</v>
      </c>
      <c r="I6" s="22"/>
      <c r="J6" s="23"/>
      <c r="K6" s="21">
        <f>Base_Dashboard!B9</f>
        <v>0</v>
      </c>
      <c r="L6" s="22"/>
      <c r="M6" s="23"/>
    </row>
    <row r="7">
      <c r="A7" s="20"/>
      <c r="B7" s="24"/>
      <c r="C7" s="25"/>
      <c r="D7" s="20"/>
      <c r="E7" s="24"/>
      <c r="F7" s="25"/>
      <c r="G7" s="20"/>
      <c r="H7" s="24"/>
      <c r="I7" s="25"/>
      <c r="J7" s="20"/>
      <c r="K7" s="24"/>
      <c r="L7" s="25"/>
      <c r="M7" s="23"/>
    </row>
    <row r="8">
      <c r="A8" s="20"/>
      <c r="B8" s="24"/>
      <c r="C8" s="25"/>
      <c r="D8" s="20"/>
      <c r="E8" s="24"/>
      <c r="F8" s="25"/>
      <c r="G8" s="20"/>
      <c r="H8" s="24"/>
      <c r="I8" s="25"/>
      <c r="J8" s="20"/>
      <c r="K8" s="24"/>
      <c r="L8" s="25"/>
      <c r="M8" s="23"/>
    </row>
    <row r="9">
      <c r="A9" s="20"/>
      <c r="B9" s="26"/>
      <c r="C9" s="27"/>
      <c r="D9" s="20"/>
      <c r="E9" s="26"/>
      <c r="F9" s="27"/>
      <c r="G9" s="20"/>
      <c r="H9" s="26"/>
      <c r="I9" s="27"/>
      <c r="J9" s="20"/>
      <c r="K9" s="26"/>
      <c r="L9" s="27"/>
      <c r="M9" s="23"/>
    </row>
  </sheetData>
  <mergeCells count="10">
    <mergeCell ref="H5:I5"/>
    <mergeCell ref="H6:I9"/>
    <mergeCell ref="B1:L1"/>
    <mergeCell ref="B3:L3"/>
    <mergeCell ref="B5:C5"/>
    <mergeCell ref="E5:F5"/>
    <mergeCell ref="K5:L5"/>
    <mergeCell ref="B6:C9"/>
    <mergeCell ref="E6:F9"/>
    <mergeCell ref="K6:L9"/>
  </mergeCells>
  <drawing r:id="rId1"/>
</worksheet>
</file>